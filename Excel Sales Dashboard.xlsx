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cer\Desktop\practice\"/>
    </mc:Choice>
  </mc:AlternateContent>
  <xr:revisionPtr revIDLastSave="0" documentId="13_ncr:1_{B2790917-9DD8-4154-BFC9-C5C0D972CCAB}" xr6:coauthVersionLast="47" xr6:coauthVersionMax="47" xr10:uidLastSave="{00000000-0000-0000-0000-000000000000}"/>
  <bookViews>
    <workbookView xWindow="-120" yWindow="-120" windowWidth="20730" windowHeight="11040" xr2:uid="{3A7C68F2-8318-42D1-97B1-DC05E012505E}"/>
  </bookViews>
  <sheets>
    <sheet name="DASHBOARD" sheetId="4" r:id="rId1"/>
    <sheet name="PIVOT TABLE" sheetId="2" r:id="rId2"/>
    <sheet name="DATASET" sheetId="1" r:id="rId3"/>
  </sheets>
  <definedNames>
    <definedName name="Slicer_Region">#N/A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<sst xmlns="http://schemas.openxmlformats.org/spreadsheetml/2006/main" count="106" uniqueCount="51">
  <si>
    <t>Order Id</t>
  </si>
  <si>
    <t>Date</t>
  </si>
  <si>
    <t>Customer</t>
  </si>
  <si>
    <t>Category</t>
  </si>
  <si>
    <t>Ravi</t>
  </si>
  <si>
    <t>Priya</t>
  </si>
  <si>
    <t>Arun</t>
  </si>
  <si>
    <t>Divya</t>
  </si>
  <si>
    <t>Kumar</t>
  </si>
  <si>
    <t>Sathish</t>
  </si>
  <si>
    <t>Anitha</t>
  </si>
  <si>
    <t>Vijay</t>
  </si>
  <si>
    <t>Meena</t>
  </si>
  <si>
    <t>Karthik</t>
  </si>
  <si>
    <t>Product</t>
  </si>
  <si>
    <t>Region</t>
  </si>
  <si>
    <t>Sales</t>
  </si>
  <si>
    <t>Profit</t>
  </si>
  <si>
    <t>Quantity</t>
  </si>
  <si>
    <t>Electronics</t>
  </si>
  <si>
    <t>Furniture</t>
  </si>
  <si>
    <t>Office Supplies</t>
  </si>
  <si>
    <t>Laptop</t>
  </si>
  <si>
    <t>Chair</t>
  </si>
  <si>
    <t>Mouse</t>
  </si>
  <si>
    <t>Notebook</t>
  </si>
  <si>
    <t>Keyboard</t>
  </si>
  <si>
    <t>Table</t>
  </si>
  <si>
    <t>Pen</t>
  </si>
  <si>
    <t>Monitor</t>
  </si>
  <si>
    <t>Sofa</t>
  </si>
  <si>
    <t>Headphones</t>
  </si>
  <si>
    <t>South</t>
  </si>
  <si>
    <t>North</t>
  </si>
  <si>
    <t>East</t>
  </si>
  <si>
    <t>West</t>
  </si>
  <si>
    <t>Row Labels</t>
  </si>
  <si>
    <t>Grand Total</t>
  </si>
  <si>
    <t>Sum of Sales</t>
  </si>
  <si>
    <t>TOTAL SALES BY REGION</t>
  </si>
  <si>
    <t>TOTAL SALES BY CATEGORY</t>
  </si>
  <si>
    <t>Sum of Profit</t>
  </si>
  <si>
    <t>TOTAL PROFIT BY CATEGORY</t>
  </si>
  <si>
    <t>MONTHLY SALES</t>
  </si>
  <si>
    <t>Sum of Quantity</t>
  </si>
  <si>
    <t>TOTAL QUANTITY BY CATEGORY</t>
  </si>
  <si>
    <t>Sum of Order Id</t>
  </si>
  <si>
    <t>TOTAL ORDERS BY REGION</t>
  </si>
  <si>
    <t>SALES DASHBOARD</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</si>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</sst>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Times New Roman"/>
      <family val="1"/>
    </font>
    <font>
      <sz val="11"/>
      <color theme="1"/>
      <name val="Times New Roman"/>
      <family val="1"/>
    </font>
    <font>
      <b/>
      <sz val="11"/>
      <color theme="1"/>
      <name val="Aptos Narrow"/>
      <family val="2"/>
      <scheme val="minor"/>
    </font>
    <font>
      <b/>
      <sz val="16"/>
      <color theme="1"/>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2" fillId="0" borderId="0" xfId="0" applyFont="1" applyAlignment="1">
      <alignment horizontal="left"/>
    </xf>
    <xf numFmtId="14" fontId="2" fillId="0" borderId="0" xfId="0" applyNumberFormat="1" applyFont="1" applyAlignment="1">
      <alignment horizontal="left"/>
    </xf>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xf>
    <xf numFmtId="0" fontId="2" fillId="0" borderId="0" xfId="0" applyFont="1"/>
    <xf numFmtId="0" fontId="2" fillId="0" borderId="0" xfId="0" pivotButton="1" applyFont="1"/>
    <xf numFmtId="0" fontId="2" fillId="0" borderId="0" xfId="0" applyNumberFormat="1" applyFont="1"/>
    <xf numFmtId="0" fontId="1" fillId="0" borderId="0" xfId="0" applyFont="1"/>
    <xf numFmtId="0" fontId="3" fillId="0" borderId="0" xfId="0" applyFont="1"/>
    <xf numFmtId="0" fontId="4" fillId="3" borderId="2" xfId="0" applyFont="1" applyFill="1" applyBorder="1" applyAlignment="1">
      <alignment horizontal="center"/>
    </xf>
    <xf numFmtId="0" fontId="1" fillId="2" borderId="1" xfId="0" applyNumberFormat="1" applyFont="1" applyFill="1" applyBorder="1"/>
  </cellXfs>
  <cellStyles count="1">
    <cellStyle name="Normal" xfId="0" builtinId="0"/>
  </cellStyles>
  <dxfs count="215">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Times New Roman"/>
        <family val="1"/>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15500</c:v>
                </c:pt>
                <c:pt idx="1">
                  <c:v>7800</c:v>
                </c:pt>
                <c:pt idx="2">
                  <c:v>70300</c:v>
                </c:pt>
                <c:pt idx="3">
                  <c:v>40000</c:v>
                </c:pt>
              </c:numCache>
            </c:numRef>
          </c:val>
          <c:extLst>
            <c:ext xmlns:c16="http://schemas.microsoft.com/office/drawing/2014/chart" uri="{C3380CC4-5D6E-409C-BE32-E72D297353CC}">
              <c16:uniqueId val="{00000000-91BB-4FB1-BCB0-D8ECE5CDC9C9}"/>
            </c:ext>
          </c:extLst>
        </c:ser>
        <c:dLbls>
          <c:dLblPos val="outEnd"/>
          <c:showLegendKey val="0"/>
          <c:showVal val="1"/>
          <c:showCatName val="0"/>
          <c:showSerName val="0"/>
          <c:showPercent val="0"/>
          <c:showBubbleSize val="0"/>
        </c:dLbls>
        <c:gapWidth val="219"/>
        <c:overlap val="-27"/>
        <c:axId val="1891573919"/>
        <c:axId val="1885436847"/>
      </c:barChart>
      <c:catAx>
        <c:axId val="189157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436847"/>
        <c:crosses val="autoZero"/>
        <c:auto val="1"/>
        <c:lblAlgn val="ctr"/>
        <c:lblOffset val="100"/>
        <c:noMultiLvlLbl val="0"/>
      </c:catAx>
      <c:valAx>
        <c:axId val="188543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573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TABLE!CATEGORY</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D2-48A8-BEE2-8B862E837A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D2-48A8-BEE2-8B862E837A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D2-48A8-BEE2-8B862E837A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TABLE'!$E$4:$E$7</c:f>
              <c:strCache>
                <c:ptCount val="3"/>
                <c:pt idx="0">
                  <c:v>Electronics</c:v>
                </c:pt>
                <c:pt idx="1">
                  <c:v>Furniture</c:v>
                </c:pt>
                <c:pt idx="2">
                  <c:v>Office Supplies</c:v>
                </c:pt>
              </c:strCache>
            </c:strRef>
          </c:cat>
          <c:val>
            <c:numRef>
              <c:f>'PIVOT TABLE'!$F$4:$F$7</c:f>
              <c:numCache>
                <c:formatCode>General</c:formatCode>
                <c:ptCount val="3"/>
                <c:pt idx="0">
                  <c:v>88300</c:v>
                </c:pt>
                <c:pt idx="1">
                  <c:v>44500</c:v>
                </c:pt>
                <c:pt idx="2">
                  <c:v>800</c:v>
                </c:pt>
              </c:numCache>
            </c:numRef>
          </c:val>
          <c:extLst>
            <c:ext xmlns:c16="http://schemas.microsoft.com/office/drawing/2014/chart" uri="{C3380CC4-5D6E-409C-BE32-E72D297353CC}">
              <c16:uniqueId val="{00000006-B3D2-48A8-BEE2-8B862E837A6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 SALES</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DATES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TABLE'!$E$14:$E$24</c:f>
              <c:strCache>
                <c:ptCount val="10"/>
                <c:pt idx="0">
                  <c:v>01-01-2026</c:v>
                </c:pt>
                <c:pt idx="1">
                  <c:v>02-01-2026</c:v>
                </c:pt>
                <c:pt idx="2">
                  <c:v>03-01-2026</c:v>
                </c:pt>
                <c:pt idx="3">
                  <c:v>04-01-2026</c:v>
                </c:pt>
                <c:pt idx="4">
                  <c:v>05-01-2026</c:v>
                </c:pt>
                <c:pt idx="5">
                  <c:v>06-01-2026</c:v>
                </c:pt>
                <c:pt idx="6">
                  <c:v>07-01-2026</c:v>
                </c:pt>
                <c:pt idx="7">
                  <c:v>08-01-2026</c:v>
                </c:pt>
                <c:pt idx="8">
                  <c:v>09-01-2026</c:v>
                </c:pt>
                <c:pt idx="9">
                  <c:v>10-01-2026</c:v>
                </c:pt>
              </c:strCache>
            </c:strRef>
          </c:cat>
          <c:val>
            <c:numRef>
              <c:f>'PIVOT TABLE'!$F$14:$F$24</c:f>
              <c:numCache>
                <c:formatCode>General</c:formatCode>
                <c:ptCount val="10"/>
                <c:pt idx="0">
                  <c:v>55000</c:v>
                </c:pt>
                <c:pt idx="1">
                  <c:v>7500</c:v>
                </c:pt>
                <c:pt idx="2">
                  <c:v>800</c:v>
                </c:pt>
                <c:pt idx="3">
                  <c:v>500</c:v>
                </c:pt>
                <c:pt idx="4">
                  <c:v>15000</c:v>
                </c:pt>
                <c:pt idx="5">
                  <c:v>12000</c:v>
                </c:pt>
                <c:pt idx="6">
                  <c:v>300</c:v>
                </c:pt>
                <c:pt idx="7">
                  <c:v>15000</c:v>
                </c:pt>
                <c:pt idx="8">
                  <c:v>25000</c:v>
                </c:pt>
                <c:pt idx="9">
                  <c:v>2500</c:v>
                </c:pt>
              </c:numCache>
            </c:numRef>
          </c:val>
          <c:smooth val="0"/>
          <c:extLst>
            <c:ext xmlns:c16="http://schemas.microsoft.com/office/drawing/2014/chart" uri="{C3380CC4-5D6E-409C-BE32-E72D297353CC}">
              <c16:uniqueId val="{00000000-D931-4E0F-86BB-56F1AEF8C4AA}"/>
            </c:ext>
          </c:extLst>
        </c:ser>
        <c:dLbls>
          <c:dLblPos val="ctr"/>
          <c:showLegendKey val="0"/>
          <c:showVal val="1"/>
          <c:showCatName val="0"/>
          <c:showSerName val="0"/>
          <c:showPercent val="0"/>
          <c:showBubbleSize val="0"/>
        </c:dLbls>
        <c:marker val="1"/>
        <c:smooth val="0"/>
        <c:axId val="1982756767"/>
        <c:axId val="1885434927"/>
      </c:lineChart>
      <c:catAx>
        <c:axId val="1982756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5434927"/>
        <c:crosses val="autoZero"/>
        <c:auto val="1"/>
        <c:lblAlgn val="ctr"/>
        <c:lblOffset val="100"/>
        <c:noMultiLvlLbl val="0"/>
      </c:catAx>
      <c:valAx>
        <c:axId val="18854349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275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TABLE!CUSTOMER</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NAME OF SALES</a:t>
            </a:r>
          </a:p>
        </c:rich>
      </c:tx>
      <c:layout>
        <c:manualLayout>
          <c:xMode val="edge"/>
          <c:yMode val="edge"/>
          <c:x val="0.18134132567773176"/>
          <c:y val="5.189557321225879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TABLE'!$A$12:$A$22</c:f>
              <c:strCache>
                <c:ptCount val="10"/>
                <c:pt idx="0">
                  <c:v>Anitha</c:v>
                </c:pt>
                <c:pt idx="1">
                  <c:v>Arun</c:v>
                </c:pt>
                <c:pt idx="2">
                  <c:v>Divya</c:v>
                </c:pt>
                <c:pt idx="3">
                  <c:v>Karthik</c:v>
                </c:pt>
                <c:pt idx="4">
                  <c:v>Kumar</c:v>
                </c:pt>
                <c:pt idx="5">
                  <c:v>Meena</c:v>
                </c:pt>
                <c:pt idx="6">
                  <c:v>Priya</c:v>
                </c:pt>
                <c:pt idx="7">
                  <c:v>Ravi</c:v>
                </c:pt>
                <c:pt idx="8">
                  <c:v>Sathish</c:v>
                </c:pt>
                <c:pt idx="9">
                  <c:v>Vijay</c:v>
                </c:pt>
              </c:strCache>
            </c:strRef>
          </c:cat>
          <c:val>
            <c:numRef>
              <c:f>'PIVOT TABLE'!$B$12:$B$22</c:f>
              <c:numCache>
                <c:formatCode>General</c:formatCode>
                <c:ptCount val="10"/>
                <c:pt idx="0">
                  <c:v>300</c:v>
                </c:pt>
                <c:pt idx="1">
                  <c:v>800</c:v>
                </c:pt>
                <c:pt idx="2">
                  <c:v>500</c:v>
                </c:pt>
                <c:pt idx="3">
                  <c:v>2500</c:v>
                </c:pt>
                <c:pt idx="4">
                  <c:v>15000</c:v>
                </c:pt>
                <c:pt idx="5">
                  <c:v>25000</c:v>
                </c:pt>
                <c:pt idx="6">
                  <c:v>7500</c:v>
                </c:pt>
                <c:pt idx="7">
                  <c:v>55000</c:v>
                </c:pt>
                <c:pt idx="8">
                  <c:v>12000</c:v>
                </c:pt>
                <c:pt idx="9">
                  <c:v>15000</c:v>
                </c:pt>
              </c:numCache>
            </c:numRef>
          </c:val>
          <c:extLst>
            <c:ext xmlns:c16="http://schemas.microsoft.com/office/drawing/2014/chart" uri="{C3380CC4-5D6E-409C-BE32-E72D297353CC}">
              <c16:uniqueId val="{00000000-FFB7-401D-BFBC-371C9A9F4226}"/>
            </c:ext>
          </c:extLst>
        </c:ser>
        <c:dLbls>
          <c:dLblPos val="inEnd"/>
          <c:showLegendKey val="0"/>
          <c:showVal val="1"/>
          <c:showCatName val="0"/>
          <c:showSerName val="0"/>
          <c:showPercent val="0"/>
          <c:showBubbleSize val="0"/>
        </c:dLbls>
        <c:gapWidth val="269"/>
        <c:overlap val="-20"/>
        <c:axId val="1984692559"/>
        <c:axId val="1885443087"/>
      </c:barChart>
      <c:catAx>
        <c:axId val="1984692559"/>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85443087"/>
        <c:crosses val="autoZero"/>
        <c:auto val="1"/>
        <c:lblAlgn val="ctr"/>
        <c:lblOffset val="100"/>
        <c:noMultiLvlLbl val="0"/>
      </c:catAx>
      <c:valAx>
        <c:axId val="188544308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46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328083</xdr:colOff>
      <xdr:row>1</xdr:row>
      <xdr:rowOff>74083</xdr:rowOff>
    </xdr:from>
    <xdr:to>
      <xdr:col>7</xdr:col>
      <xdr:colOff>148166</xdr:colOff>
      <xdr:row>13</xdr:row>
      <xdr:rowOff>149333</xdr:rowOff>
    </xdr:to>
    <xdr:graphicFrame macro="">
      <xdr:nvGraphicFramePr>
        <xdr:cNvPr id="2" name="Chart 1">
          <a:extLst>
            <a:ext uri="{FF2B5EF4-FFF2-40B4-BE49-F238E27FC236}">
              <a16:creationId xmlns:a16="http://schemas.microsoft.com/office/drawing/2014/main" id="{9F4A7055-3A4A-42E8-BAF4-438B5B226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254001</xdr:colOff>
      <xdr:row>1</xdr:row>
      <xdr:rowOff>116417</xdr:rowOff>
    </xdr:from>
    <xdr:to>
      <xdr:col>12</xdr:col>
      <xdr:colOff>148167</xdr:colOff>
      <xdr:row>13</xdr:row>
      <xdr:rowOff>22333</xdr:rowOff>
    </xdr:to>
    <xdr:graphicFrame macro="">
      <xdr:nvGraphicFramePr>
        <xdr:cNvPr id="3" name="Chart 2">
          <a:extLst>
            <a:ext uri="{FF2B5EF4-FFF2-40B4-BE49-F238E27FC236}">
              <a16:creationId xmlns:a16="http://schemas.microsoft.com/office/drawing/2014/main" id="{2A0395B2-1C2F-4C21-B8E2-0565BD798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222250</xdr:colOff>
      <xdr:row>1</xdr:row>
      <xdr:rowOff>42333</xdr:rowOff>
    </xdr:from>
    <xdr:to>
      <xdr:col>18</xdr:col>
      <xdr:colOff>550334</xdr:colOff>
      <xdr:row>14</xdr:row>
      <xdr:rowOff>85833</xdr:rowOff>
    </xdr:to>
    <xdr:graphicFrame macro="">
      <xdr:nvGraphicFramePr>
        <xdr:cNvPr id="4" name="Chart 3">
          <a:extLst>
            <a:ext uri="{FF2B5EF4-FFF2-40B4-BE49-F238E27FC236}">
              <a16:creationId xmlns:a16="http://schemas.microsoft.com/office/drawing/2014/main" id="{417A4F5B-22F9-4C04-9B99-E49BD0245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381000</xdr:colOff>
      <xdr:row>14</xdr:row>
      <xdr:rowOff>95250</xdr:rowOff>
    </xdr:from>
    <xdr:to>
      <xdr:col>9</xdr:col>
      <xdr:colOff>412750</xdr:colOff>
      <xdr:row>26</xdr:row>
      <xdr:rowOff>11750</xdr:rowOff>
    </xdr:to>
    <xdr:graphicFrame macro="">
      <xdr:nvGraphicFramePr>
        <xdr:cNvPr id="5" name="Chart 4">
          <a:extLst>
            <a:ext uri="{FF2B5EF4-FFF2-40B4-BE49-F238E27FC236}">
              <a16:creationId xmlns:a16="http://schemas.microsoft.com/office/drawing/2014/main" id="{576F9870-7F47-49F3-ABE2-B5C64131B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168276</xdr:colOff>
      <xdr:row>1</xdr:row>
      <xdr:rowOff>153459</xdr:rowOff>
    </xdr:from>
    <xdr:to>
      <xdr:col>3</xdr:col>
      <xdr:colOff>155576</xdr:colOff>
      <xdr:row>7</xdr:row>
      <xdr:rowOff>21167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36CA6C2-3F20-6223-17D4-4E279BA422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8276" y="407459"/>
              <a:ext cx="1828800" cy="1010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3.659505555559" createdVersion="8" refreshedVersion="8" minRefreshableVersion="3" recordCount="10" xr:uid="{9F58D692-4FC0-4ABC-8887-4BAD0EECFC2A}">
  <cacheSource type="worksheet">
    <worksheetSource name="Table1"/>
  </cacheSource>
  <cacheFields count="9">
    <cacheField name="Order Id" numFmtId="0">
      <sharedItems containsSemiMixedTypes="0" containsString="0" containsNumber="1" containsInteger="1" minValue="1001" maxValue="1010"/>
    </cacheField>
    <cacheField name="Date" numFmtId="14">
      <sharedItems containsSemiMixedTypes="0" containsNonDate="0" containsDate="1" containsString="0" minDate="2026-01-01T00:00:00" maxDate="2026-01-11T00:00:00" count="10">
        <d v="2026-01-01T00:00:00"/>
        <d v="2026-01-02T00:00:00"/>
        <d v="2026-01-03T00:00:00"/>
        <d v="2026-01-04T00:00:00"/>
        <d v="2026-01-05T00:00:00"/>
        <d v="2026-01-06T00:00:00"/>
        <d v="2026-01-07T00:00:00"/>
        <d v="2026-01-08T00:00:00"/>
        <d v="2026-01-09T00:00:00"/>
        <d v="2026-01-10T00:00:00"/>
      </sharedItems>
    </cacheField>
    <cacheField name="Customer" numFmtId="0">
      <sharedItems count="10">
        <s v="Ravi"/>
        <s v="Priya"/>
        <s v="Arun"/>
        <s v="Divya"/>
        <s v="Kumar"/>
        <s v="Sathish"/>
        <s v="Anitha"/>
        <s v="Vijay"/>
        <s v="Meena"/>
        <s v="Karthik"/>
      </sharedItems>
    </cacheField>
    <cacheField name="Category" numFmtId="0">
      <sharedItems count="3">
        <s v="Electronics"/>
        <s v="Furniture"/>
        <s v="Office Supplies"/>
      </sharedItems>
    </cacheField>
    <cacheField name="Product" numFmtId="0">
      <sharedItems/>
    </cacheField>
    <cacheField name="Region" numFmtId="0">
      <sharedItems count="4">
        <s v="South"/>
        <s v="North"/>
        <s v="East"/>
        <s v="West"/>
      </sharedItems>
    </cacheField>
    <cacheField name="Sales" numFmtId="0">
      <sharedItems containsSemiMixedTypes="0" containsString="0" containsNumber="1" containsInteger="1" minValue="300" maxValue="55000" count="9">
        <n v="55000"/>
        <n v="7500"/>
        <n v="800"/>
        <n v="500"/>
        <n v="15000"/>
        <n v="12000"/>
        <n v="300"/>
        <n v="25000"/>
        <n v="2500"/>
      </sharedItems>
    </cacheField>
    <cacheField name="Profit" numFmtId="0">
      <sharedItems containsSemiMixedTypes="0" containsString="0" containsNumber="1" containsInteger="1" minValue="90" maxValue="8000"/>
    </cacheField>
    <cacheField name="Quantity" numFmtId="0">
      <sharedItems containsSemiMixedTypes="0" containsString="0" containsNumber="1" containsInteger="1" minValue="1" maxValue="20"/>
    </cacheField>
  </cacheFields>
  <extLst>
    <ext xmlns:x14="http://schemas.microsoft.com/office/spreadsheetml/2009/9/main" uri="{725AE2AE-9491-48be-B2B4-4EB974FC3084}">
      <x14:pivotCacheDefinition pivotCacheId="354351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s v="Laptop"/>
    <x v="0"/>
    <x v="0"/>
    <n v="8000"/>
    <n v="1"/>
  </r>
  <r>
    <n v="1002"/>
    <x v="1"/>
    <x v="1"/>
    <x v="1"/>
    <s v="Chair"/>
    <x v="1"/>
    <x v="1"/>
    <n v="1200"/>
    <n v="2"/>
  </r>
  <r>
    <n v="1003"/>
    <x v="2"/>
    <x v="2"/>
    <x v="0"/>
    <s v="Mouse"/>
    <x v="0"/>
    <x v="2"/>
    <n v="250"/>
    <n v="3"/>
  </r>
  <r>
    <n v="1004"/>
    <x v="3"/>
    <x v="3"/>
    <x v="2"/>
    <s v="Notebook"/>
    <x v="2"/>
    <x v="3"/>
    <n v="120"/>
    <n v="10"/>
  </r>
  <r>
    <n v="1005"/>
    <x v="4"/>
    <x v="4"/>
    <x v="0"/>
    <s v="Keyboard"/>
    <x v="3"/>
    <x v="4"/>
    <n v="400"/>
    <n v="2"/>
  </r>
  <r>
    <n v="1006"/>
    <x v="5"/>
    <x v="5"/>
    <x v="1"/>
    <s v="Table"/>
    <x v="0"/>
    <x v="5"/>
    <n v="2000"/>
    <n v="1"/>
  </r>
  <r>
    <n v="1007"/>
    <x v="6"/>
    <x v="6"/>
    <x v="2"/>
    <s v="Pen"/>
    <x v="1"/>
    <x v="6"/>
    <n v="90"/>
    <n v="20"/>
  </r>
  <r>
    <n v="1008"/>
    <x v="7"/>
    <x v="7"/>
    <x v="0"/>
    <s v="Monitor"/>
    <x v="2"/>
    <x v="4"/>
    <n v="2500"/>
    <n v="1"/>
  </r>
  <r>
    <n v="1009"/>
    <x v="8"/>
    <x v="8"/>
    <x v="1"/>
    <s v="Sofa"/>
    <x v="3"/>
    <x v="7"/>
    <n v="4500"/>
    <n v="1"/>
  </r>
  <r>
    <n v="1010"/>
    <x v="9"/>
    <x v="9"/>
    <x v="0"/>
    <s v="Headphones"/>
    <x v="0"/>
    <x v="8"/>
    <n v="70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C30E55-D71C-47F1-8B75-D0994EFD0478}" name="CUSTOMER"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B22" firstHeaderRow="1" firstDataRow="1" firstDataCol="1"/>
  <pivotFields count="9">
    <pivotField showAll="0"/>
    <pivotField numFmtId="14" showAll="0"/>
    <pivotField axis="axisRow" showAll="0">
      <items count="11">
        <item x="6"/>
        <item x="2"/>
        <item x="3"/>
        <item x="9"/>
        <item x="4"/>
        <item x="8"/>
        <item x="1"/>
        <item x="0"/>
        <item x="5"/>
        <item x="7"/>
        <item t="default"/>
      </items>
    </pivotField>
    <pivotField showAll="0"/>
    <pivotField showAll="0"/>
    <pivotField showAll="0">
      <items count="5">
        <item x="2"/>
        <item x="1"/>
        <item x="0"/>
        <item x="3"/>
        <item t="default"/>
      </items>
    </pivotField>
    <pivotField dataField="1"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Sales" fld="6" baseField="0" baseItem="0"/>
  </dataFields>
  <formats count="5">
    <format dxfId="175">
      <pivotArea type="all" dataOnly="0" outline="0" fieldPosition="0"/>
    </format>
    <format dxfId="176">
      <pivotArea outline="0" collapsedLevelsAreSubtotals="1" fieldPosition="0"/>
    </format>
    <format dxfId="177">
      <pivotArea field="5" type="button" dataOnly="0" labelOnly="1" outline="0"/>
    </format>
    <format dxfId="178">
      <pivotArea dataOnly="0" labelOnly="1" grandRow="1" outline="0" fieldPosition="0"/>
    </format>
    <format dxfId="17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BF606F-D964-4AA1-AEB0-26A5424779B0}" name="ORDER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18" firstHeaderRow="1" firstDataRow="1" firstDataCol="1"/>
  <pivotFields count="9">
    <pivotField dataField="1" showAll="0"/>
    <pivotField numFmtId="14" showAll="0"/>
    <pivotField showAll="0"/>
    <pivotField showAll="0"/>
    <pivotField showAll="0"/>
    <pivotField axis="axisRow" showAll="0">
      <items count="5">
        <item x="2"/>
        <item x="1"/>
        <item x="0"/>
        <item x="3"/>
        <item t="default"/>
      </items>
    </pivotField>
    <pivotField showAll="0"/>
    <pivotField showAll="0"/>
    <pivotField showAll="0"/>
  </pivotFields>
  <rowFields count="1">
    <field x="5"/>
  </rowFields>
  <rowItems count="5">
    <i>
      <x/>
    </i>
    <i>
      <x v="1"/>
    </i>
    <i>
      <x v="2"/>
    </i>
    <i>
      <x v="3"/>
    </i>
    <i t="grand">
      <x/>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948C9-68E3-453F-9637-6B00AD642757}" name="QUANTIT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7" firstHeaderRow="1" firstDataRow="1" firstDataCol="1"/>
  <pivotFields count="9">
    <pivotField showAll="0"/>
    <pivotField numFmtId="14" showAll="0"/>
    <pivotField showAll="0"/>
    <pivotField axis="axisRow" showAll="0">
      <items count="4">
        <item x="0"/>
        <item x="1"/>
        <item x="2"/>
        <item t="default"/>
      </items>
    </pivotField>
    <pivotField showAll="0"/>
    <pivotField showAll="0">
      <items count="5">
        <item x="2"/>
        <item x="1"/>
        <item x="0"/>
        <item x="3"/>
        <item t="default"/>
      </items>
    </pivotField>
    <pivotField showAll="0"/>
    <pivotField showAll="0"/>
    <pivotField dataField="1" showAll="0"/>
  </pivotFields>
  <rowFields count="1">
    <field x="3"/>
  </rowFields>
  <rowItems count="4">
    <i>
      <x/>
    </i>
    <i>
      <x v="1"/>
    </i>
    <i>
      <x v="2"/>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468BF-0742-4F2A-997D-1E420ADE6E72}" name="MONTHLY 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3:F24" firstHeaderRow="1" firstDataRow="1" firstDataCol="1"/>
  <pivotFields count="9">
    <pivotField showAll="0"/>
    <pivotField axis="axisRow" numFmtId="14" showAll="0">
      <items count="11">
        <item x="0"/>
        <item x="1"/>
        <item x="2"/>
        <item x="3"/>
        <item x="4"/>
        <item x="5"/>
        <item x="6"/>
        <item x="7"/>
        <item x="8"/>
        <item x="9"/>
        <item t="default"/>
      </items>
    </pivotField>
    <pivotField showAll="0"/>
    <pivotField showAll="0"/>
    <pivotField showAll="0"/>
    <pivotField showAll="0">
      <items count="5">
        <item x="2"/>
        <item x="1"/>
        <item x="0"/>
        <item x="3"/>
        <item t="default"/>
      </items>
    </pivotField>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Sales" fld="6" baseField="0" baseItem="0"/>
  </dataFields>
  <formats count="6">
    <format dxfId="203">
      <pivotArea type="all" dataOnly="0" outline="0" fieldPosition="0"/>
    </format>
    <format dxfId="202">
      <pivotArea outline="0" collapsedLevelsAreSubtotals="1" fieldPosition="0"/>
    </format>
    <format dxfId="201">
      <pivotArea field="1" type="button" dataOnly="0" labelOnly="1" outline="0" axis="axisRow" fieldPosition="0"/>
    </format>
    <format dxfId="200">
      <pivotArea dataOnly="0" labelOnly="1" fieldPosition="0">
        <references count="1">
          <reference field="1" count="0"/>
        </references>
      </pivotArea>
    </format>
    <format dxfId="199">
      <pivotArea dataOnly="0" labelOnly="1" grandRow="1" outline="0" fieldPosition="0"/>
    </format>
    <format dxfId="19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26FF2E-E430-4804-A172-E7D0D5DE8F6D}" name="PROFI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7" firstHeaderRow="1" firstDataRow="1" firstDataCol="1"/>
  <pivotFields count="9">
    <pivotField showAll="0"/>
    <pivotField numFmtId="14" showAll="0"/>
    <pivotField showAll="0"/>
    <pivotField axis="axisRow" showAll="0">
      <items count="4">
        <item x="0"/>
        <item x="1"/>
        <item x="2"/>
        <item t="default"/>
      </items>
    </pivotField>
    <pivotField showAll="0"/>
    <pivotField showAll="0">
      <items count="5">
        <item x="2"/>
        <item x="1"/>
        <item x="0"/>
        <item x="3"/>
        <item t="default"/>
      </items>
    </pivotField>
    <pivotField showAll="0"/>
    <pivotField dataField="1" showAll="0"/>
    <pivotField showAll="0"/>
  </pivotFields>
  <rowFields count="1">
    <field x="3"/>
  </rowFields>
  <rowItems count="4">
    <i>
      <x/>
    </i>
    <i>
      <x v="1"/>
    </i>
    <i>
      <x v="2"/>
    </i>
    <i t="grand">
      <x/>
    </i>
  </rowItems>
  <colItems count="1">
    <i/>
  </colItems>
  <dataFields count="1">
    <dataField name="Sum of Profit" fld="7" baseField="0" baseItem="0"/>
  </dataFields>
  <formats count="6">
    <format dxfId="197">
      <pivotArea type="all" dataOnly="0" outline="0" fieldPosition="0"/>
    </format>
    <format dxfId="196">
      <pivotArea outline="0" collapsedLevelsAreSubtotals="1" fieldPosition="0"/>
    </format>
    <format dxfId="195">
      <pivotArea field="3" type="button" dataOnly="0" labelOnly="1" outline="0" axis="axisRow" fieldPosition="0"/>
    </format>
    <format dxfId="194">
      <pivotArea dataOnly="0" labelOnly="1" fieldPosition="0">
        <references count="1">
          <reference field="3" count="0"/>
        </references>
      </pivotArea>
    </format>
    <format dxfId="193">
      <pivotArea dataOnly="0" labelOnly="1" grandRow="1" outline="0" fieldPosition="0"/>
    </format>
    <format dxfId="1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604016-A254-43F2-92C0-C1DF7A51ECF0}" name="CATEGOR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7" firstHeaderRow="1" firstDataRow="1" firstDataCol="1"/>
  <pivotFields count="9">
    <pivotField showAll="0"/>
    <pivotField numFmtId="14" showAll="0"/>
    <pivotField showAll="0"/>
    <pivotField axis="axisRow" showAll="0">
      <items count="4">
        <item x="0"/>
        <item x="1"/>
        <item x="2"/>
        <item t="default"/>
      </items>
    </pivotField>
    <pivotField showAll="0"/>
    <pivotField showAll="0">
      <items count="5">
        <item x="2"/>
        <item x="1"/>
        <item x="0"/>
        <item x="3"/>
        <item t="default"/>
      </items>
    </pivotField>
    <pivotField dataField="1" showAll="0"/>
    <pivotField showAll="0"/>
    <pivotField showAll="0"/>
  </pivotFields>
  <rowFields count="1">
    <field x="3"/>
  </rowFields>
  <rowItems count="4">
    <i>
      <x/>
    </i>
    <i>
      <x v="1"/>
    </i>
    <i>
      <x v="2"/>
    </i>
    <i t="grand">
      <x/>
    </i>
  </rowItems>
  <colItems count="1">
    <i/>
  </colItems>
  <dataFields count="1">
    <dataField name="Sum of Sales" fld="6" baseField="0" baseItem="0"/>
  </dataFields>
  <formats count="6">
    <format dxfId="191">
      <pivotArea type="all" dataOnly="0" outline="0" fieldPosition="0"/>
    </format>
    <format dxfId="190">
      <pivotArea outline="0" collapsedLevelsAreSubtotals="1" fieldPosition="0"/>
    </format>
    <format dxfId="189">
      <pivotArea field="3" type="button" dataOnly="0" labelOnly="1" outline="0" axis="axisRow" fieldPosition="0"/>
    </format>
    <format dxfId="188">
      <pivotArea dataOnly="0" labelOnly="1" fieldPosition="0">
        <references count="1">
          <reference field="3" count="0"/>
        </references>
      </pivotArea>
    </format>
    <format dxfId="187">
      <pivotArea dataOnly="0" labelOnly="1" grandRow="1" outline="0" fieldPosition="0"/>
    </format>
    <format dxfId="186">
      <pivotArea dataOnly="0" labelOnly="1" outline="0" axis="axisValues" fieldPosition="0"/>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3" count="1" selected="0">
            <x v="0"/>
          </reference>
        </references>
      </pivotArea>
    </chartFormat>
    <chartFormat chart="8" format="7">
      <pivotArea type="data" outline="0" fieldPosition="0">
        <references count="2">
          <reference field="4294967294" count="1" selected="0">
            <x v="0"/>
          </reference>
          <reference field="3" count="1" selected="0">
            <x v="1"/>
          </reference>
        </references>
      </pivotArea>
    </chartFormat>
    <chartFormat chart="8"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78CB17-0AA9-46FD-9152-8248C4B54E6C}" name="REGION"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showAll="0"/>
    <pivotField numFmtId="14" showAll="0"/>
    <pivotField showAll="0"/>
    <pivotField showAll="0"/>
    <pivotField showAll="0"/>
    <pivotField axis="axisRow" showAll="0">
      <items count="5">
        <item x="2"/>
        <item x="1"/>
        <item x="0"/>
        <item x="3"/>
        <item t="default"/>
      </items>
    </pivotField>
    <pivotField dataField="1" showAll="0">
      <items count="10">
        <item x="6"/>
        <item x="3"/>
        <item x="2"/>
        <item x="8"/>
        <item x="1"/>
        <item x="5"/>
        <item x="4"/>
        <item x="7"/>
        <item x="0"/>
        <item t="default"/>
      </items>
    </pivotField>
    <pivotField showAll="0"/>
    <pivotField showAll="0"/>
  </pivotFields>
  <rowFields count="1">
    <field x="5"/>
  </rowFields>
  <rowItems count="5">
    <i>
      <x/>
    </i>
    <i>
      <x v="1"/>
    </i>
    <i>
      <x v="2"/>
    </i>
    <i>
      <x v="3"/>
    </i>
    <i t="grand">
      <x/>
    </i>
  </rowItems>
  <colItems count="1">
    <i/>
  </colItems>
  <dataFields count="1">
    <dataField name="Sum of Sales" fld="6" baseField="0" baseItem="0"/>
  </dataFields>
  <formats count="6">
    <format dxfId="185">
      <pivotArea type="all" dataOnly="0" outline="0" fieldPosition="0"/>
    </format>
    <format dxfId="184">
      <pivotArea outline="0" collapsedLevelsAreSubtotals="1" fieldPosition="0"/>
    </format>
    <format dxfId="183">
      <pivotArea field="5" type="button" dataOnly="0" labelOnly="1" outline="0" axis="axisRow" fieldPosition="0"/>
    </format>
    <format dxfId="182">
      <pivotArea dataOnly="0" labelOnly="1" fieldPosition="0">
        <references count="1">
          <reference field="5" count="0"/>
        </references>
      </pivotArea>
    </format>
    <format dxfId="181">
      <pivotArea dataOnly="0" labelOnly="1" grandRow="1" outline="0" fieldPosition="0"/>
    </format>
    <format dxfId="18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FA530B-8C8B-4564-BE62-17FECFD44BD5}" sourceName="Region">
  <pivotTables>
    <pivotTable tabId="2" name="REGION"/>
    <pivotTable tabId="2" name="CATEGORY"/>
    <pivotTable tabId="2" name="CUSTOMER"/>
    <pivotTable tabId="2" name="MONTHLY SALES"/>
    <pivotTable tabId="2" name="ORDERS"/>
    <pivotTable tabId="2" name="PROFIT"/>
    <pivotTable tabId="2" name="QUANTITY"/>
  </pivotTables>
  <data>
    <tabular pivotCacheId="35435160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9C48B9-C63D-47C4-9A79-4026A40A366D}" cache="Slicer_Region" caption="Region"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8433B8-4AF9-427B-A5A3-674D66BA77FB}" name="Table1" displayName="Table1" ref="A1:I11" totalsRowShown="0" headerRowDxfId="214" dataDxfId="213">
  <autoFilter ref="A1:I11" xr:uid="{A98433B8-4AF9-427B-A5A3-674D66BA77FB}"/>
  <tableColumns count="9">
    <tableColumn id="1" xr3:uid="{5CFCC005-E772-44E4-B2D9-1EECC65EF549}" name="Order Id" dataDxfId="212"/>
    <tableColumn id="2" xr3:uid="{119A99E2-B456-4FEB-93EC-FBBE63D20629}" name="Date" dataDxfId="211"/>
    <tableColumn id="3" xr3:uid="{86D68996-2CAA-4633-B67A-6FC8DA25A418}" name="Customer" dataDxfId="210"/>
    <tableColumn id="4" xr3:uid="{3DDD65EB-B9B4-40AE-A64A-46ED45AF662B}" name="Category" dataDxfId="209"/>
    <tableColumn id="5" xr3:uid="{CE2DCA9B-20F7-4E5C-9946-A915B02FA61F}" name="Product" dataDxfId="208"/>
    <tableColumn id="6" xr3:uid="{5DD7B1F8-C297-4767-93BB-B5854602249D}" name="Region" dataDxfId="207"/>
    <tableColumn id="7" xr3:uid="{0F0136E4-6174-402B-9CBE-2CEA87913764}" name="Sales" dataDxfId="206"/>
    <tableColumn id="8" xr3:uid="{47F8AFA4-CEBD-4005-BEC5-73A5517F6892}" name="Profit" dataDxfId="205"/>
    <tableColumn id="9" xr3:uid="{223A5AFF-563A-4D59-A174-BC558F3AF369}" name="Quantity" dataDxfId="20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90D1-E154-475E-AB84-1B3DC0CF4D1A}">
  <dimension ref="A1:S15"/>
  <sheetViews>
    <sheetView tabSelected="1" zoomScale="90" zoomScaleNormal="90" workbookViewId="0">
      <selection activeCell="A14" sqref="A14"/>
    </sheetView>
  </sheetViews>
  <sheetFormatPr defaultRowHeight="15" x14ac:dyDescent="0.25"/>
  <sheetData>
    <row r="1" spans="1:19" ht="20.25" x14ac:dyDescent="0.3">
      <c r="A1" s="13" t="s">
        <v>48</v>
      </c>
      <c r="B1" s="13"/>
      <c r="C1" s="13"/>
      <c r="D1" s="13"/>
      <c r="E1" s="13"/>
      <c r="F1" s="13"/>
      <c r="G1" s="13"/>
      <c r="H1" s="13"/>
      <c r="I1" s="13"/>
      <c r="J1" s="13"/>
      <c r="K1" s="13"/>
      <c r="L1" s="13"/>
      <c r="M1" s="13"/>
      <c r="N1" s="13"/>
      <c r="O1" s="13"/>
      <c r="P1" s="13"/>
      <c r="Q1" s="13"/>
      <c r="R1" s="13"/>
      <c r="S1" s="13"/>
    </row>
    <row r="10" spans="1:19" x14ac:dyDescent="0.25">
      <c r="A10" s="12" t="s">
        <v>49</v>
      </c>
      <c r="B10" s="12"/>
    </row>
    <row r="11" spans="1:19" x14ac:dyDescent="0.25">
      <c r="A11" s="14">
        <v>133600</v>
      </c>
      <c r="B11" s="12"/>
    </row>
    <row r="14" spans="1:19" x14ac:dyDescent="0.25">
      <c r="A14" s="12" t="s">
        <v>50</v>
      </c>
    </row>
    <row r="15" spans="1:19" x14ac:dyDescent="0.25">
      <c r="A15" s="14">
        <v>19760</v>
      </c>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3843-1558-48E9-8B33-7F315CD1CCCB}">
  <dimension ref="A1:L81"/>
  <sheetViews>
    <sheetView workbookViewId="0">
      <selection activeCell="B8" sqref="B8"/>
    </sheetView>
  </sheetViews>
  <sheetFormatPr defaultRowHeight="15" x14ac:dyDescent="0.25"/>
  <cols>
    <col min="1" max="1" width="14.28515625" style="8" bestFit="1" customWidth="1"/>
    <col min="2" max="2" width="20.85546875" style="8" customWidth="1"/>
    <col min="3" max="3" width="2.28515625" style="8" customWidth="1"/>
    <col min="4" max="4" width="9.140625" style="8" hidden="1" customWidth="1"/>
    <col min="5" max="5" width="14.28515625" style="8" bestFit="1" customWidth="1"/>
    <col min="6" max="6" width="22.85546875" style="8" customWidth="1"/>
    <col min="7" max="7" width="4.7109375" style="8" customWidth="1"/>
    <col min="8" max="8" width="14.28515625" style="8" bestFit="1" customWidth="1"/>
    <col min="9" max="9" width="19.5703125" style="8" customWidth="1"/>
    <col min="10" max="10" width="5.85546875" style="8" customWidth="1"/>
    <col min="11" max="11" width="14.28515625" style="8" bestFit="1" customWidth="1"/>
    <col min="12" max="12" width="22.7109375" style="8" customWidth="1"/>
    <col min="13" max="16384" width="9.140625" style="8"/>
  </cols>
  <sheetData>
    <row r="1" spans="1:12" x14ac:dyDescent="0.25">
      <c r="A1" s="7" t="s">
        <v>39</v>
      </c>
      <c r="B1" s="7"/>
      <c r="E1" s="7" t="s">
        <v>40</v>
      </c>
      <c r="F1" s="7"/>
      <c r="H1" s="7" t="s">
        <v>42</v>
      </c>
      <c r="I1" s="7"/>
      <c r="K1" s="7" t="s">
        <v>45</v>
      </c>
      <c r="L1" s="7"/>
    </row>
    <row r="3" spans="1:12" x14ac:dyDescent="0.25">
      <c r="A3" s="9" t="s">
        <v>36</v>
      </c>
      <c r="B3" s="8" t="s">
        <v>38</v>
      </c>
      <c r="E3" s="9" t="s">
        <v>36</v>
      </c>
      <c r="F3" s="8" t="s">
        <v>38</v>
      </c>
      <c r="H3" s="9" t="s">
        <v>36</v>
      </c>
      <c r="I3" s="8" t="s">
        <v>41</v>
      </c>
      <c r="K3" s="4" t="s">
        <v>36</v>
      </c>
      <c r="L3" t="s">
        <v>44</v>
      </c>
    </row>
    <row r="4" spans="1:12" x14ac:dyDescent="0.25">
      <c r="A4" s="2" t="s">
        <v>34</v>
      </c>
      <c r="B4" s="10">
        <v>15500</v>
      </c>
      <c r="E4" s="2" t="s">
        <v>19</v>
      </c>
      <c r="F4" s="10">
        <v>88300</v>
      </c>
      <c r="H4" s="2" t="s">
        <v>19</v>
      </c>
      <c r="I4" s="10">
        <v>11850</v>
      </c>
      <c r="K4" s="5" t="s">
        <v>19</v>
      </c>
      <c r="L4" s="6">
        <v>9</v>
      </c>
    </row>
    <row r="5" spans="1:12" x14ac:dyDescent="0.25">
      <c r="A5" s="2" t="s">
        <v>33</v>
      </c>
      <c r="B5" s="10">
        <v>7800</v>
      </c>
      <c r="E5" s="2" t="s">
        <v>20</v>
      </c>
      <c r="F5" s="10">
        <v>44500</v>
      </c>
      <c r="H5" s="2" t="s">
        <v>20</v>
      </c>
      <c r="I5" s="10">
        <v>7700</v>
      </c>
      <c r="K5" s="5" t="s">
        <v>20</v>
      </c>
      <c r="L5" s="6">
        <v>4</v>
      </c>
    </row>
    <row r="6" spans="1:12" x14ac:dyDescent="0.25">
      <c r="A6" s="2" t="s">
        <v>32</v>
      </c>
      <c r="B6" s="10">
        <v>70300</v>
      </c>
      <c r="E6" s="2" t="s">
        <v>21</v>
      </c>
      <c r="F6" s="10">
        <v>800</v>
      </c>
      <c r="H6" s="2" t="s">
        <v>21</v>
      </c>
      <c r="I6" s="10">
        <v>210</v>
      </c>
      <c r="K6" s="5" t="s">
        <v>21</v>
      </c>
      <c r="L6" s="6">
        <v>30</v>
      </c>
    </row>
    <row r="7" spans="1:12" x14ac:dyDescent="0.25">
      <c r="A7" s="2" t="s">
        <v>35</v>
      </c>
      <c r="B7" s="10">
        <v>40000</v>
      </c>
      <c r="E7" s="2" t="s">
        <v>37</v>
      </c>
      <c r="F7" s="10">
        <v>133600</v>
      </c>
      <c r="H7" s="2" t="s">
        <v>37</v>
      </c>
      <c r="I7" s="10">
        <v>19760</v>
      </c>
      <c r="K7" s="5" t="s">
        <v>37</v>
      </c>
      <c r="L7" s="6">
        <v>43</v>
      </c>
    </row>
    <row r="8" spans="1:12" x14ac:dyDescent="0.25">
      <c r="A8" s="2" t="s">
        <v>37</v>
      </c>
      <c r="B8" s="10">
        <v>133600</v>
      </c>
    </row>
    <row r="11" spans="1:12" x14ac:dyDescent="0.25">
      <c r="A11" s="9" t="s">
        <v>36</v>
      </c>
      <c r="B11" s="8" t="s">
        <v>38</v>
      </c>
      <c r="E11" s="7" t="s">
        <v>43</v>
      </c>
      <c r="F11" s="7"/>
      <c r="H11" s="7" t="s">
        <v>47</v>
      </c>
      <c r="I11" s="7"/>
    </row>
    <row r="12" spans="1:12" x14ac:dyDescent="0.25">
      <c r="A12" s="2" t="s">
        <v>10</v>
      </c>
      <c r="B12" s="10">
        <v>300</v>
      </c>
      <c r="H12"/>
      <c r="I12"/>
    </row>
    <row r="13" spans="1:12" x14ac:dyDescent="0.25">
      <c r="A13" s="2" t="s">
        <v>6</v>
      </c>
      <c r="B13" s="10">
        <v>800</v>
      </c>
      <c r="E13" s="9" t="s">
        <v>36</v>
      </c>
      <c r="F13" s="8" t="s">
        <v>38</v>
      </c>
      <c r="H13" s="4" t="s">
        <v>36</v>
      </c>
      <c r="I13" t="s">
        <v>46</v>
      </c>
    </row>
    <row r="14" spans="1:12" x14ac:dyDescent="0.25">
      <c r="A14" s="2" t="s">
        <v>7</v>
      </c>
      <c r="B14" s="10">
        <v>500</v>
      </c>
      <c r="E14" s="3">
        <v>46023</v>
      </c>
      <c r="F14" s="10">
        <v>55000</v>
      </c>
      <c r="H14" s="5" t="s">
        <v>34</v>
      </c>
      <c r="I14" s="6">
        <v>2012</v>
      </c>
    </row>
    <row r="15" spans="1:12" x14ac:dyDescent="0.25">
      <c r="A15" s="2" t="s">
        <v>13</v>
      </c>
      <c r="B15" s="10">
        <v>2500</v>
      </c>
      <c r="E15" s="3">
        <v>46024</v>
      </c>
      <c r="F15" s="10">
        <v>7500</v>
      </c>
      <c r="H15" s="5" t="s">
        <v>33</v>
      </c>
      <c r="I15" s="6">
        <v>2009</v>
      </c>
    </row>
    <row r="16" spans="1:12" x14ac:dyDescent="0.25">
      <c r="A16" s="2" t="s">
        <v>8</v>
      </c>
      <c r="B16" s="10">
        <v>15000</v>
      </c>
      <c r="E16" s="3">
        <v>46025</v>
      </c>
      <c r="F16" s="10">
        <v>800</v>
      </c>
      <c r="H16" s="5" t="s">
        <v>32</v>
      </c>
      <c r="I16" s="6">
        <v>4020</v>
      </c>
    </row>
    <row r="17" spans="1:9" x14ac:dyDescent="0.25">
      <c r="A17" s="2" t="s">
        <v>12</v>
      </c>
      <c r="B17" s="10">
        <v>25000</v>
      </c>
      <c r="E17" s="3">
        <v>46026</v>
      </c>
      <c r="F17" s="10">
        <v>500</v>
      </c>
      <c r="H17" s="5" t="s">
        <v>35</v>
      </c>
      <c r="I17" s="6">
        <v>2014</v>
      </c>
    </row>
    <row r="18" spans="1:9" x14ac:dyDescent="0.25">
      <c r="A18" s="2" t="s">
        <v>5</v>
      </c>
      <c r="B18" s="10">
        <v>7500</v>
      </c>
      <c r="E18" s="3">
        <v>46027</v>
      </c>
      <c r="F18" s="10">
        <v>15000</v>
      </c>
      <c r="H18" s="5" t="s">
        <v>37</v>
      </c>
      <c r="I18" s="6">
        <v>10055</v>
      </c>
    </row>
    <row r="19" spans="1:9" x14ac:dyDescent="0.25">
      <c r="A19" s="2" t="s">
        <v>4</v>
      </c>
      <c r="B19" s="10">
        <v>55000</v>
      </c>
      <c r="E19" s="3">
        <v>46028</v>
      </c>
      <c r="F19" s="10">
        <v>12000</v>
      </c>
    </row>
    <row r="20" spans="1:9" x14ac:dyDescent="0.25">
      <c r="A20" s="2" t="s">
        <v>9</v>
      </c>
      <c r="B20" s="10">
        <v>12000</v>
      </c>
      <c r="E20" s="3">
        <v>46029</v>
      </c>
      <c r="F20" s="10">
        <v>300</v>
      </c>
    </row>
    <row r="21" spans="1:9" x14ac:dyDescent="0.25">
      <c r="A21" s="2" t="s">
        <v>11</v>
      </c>
      <c r="B21" s="10">
        <v>15000</v>
      </c>
      <c r="E21" s="3">
        <v>46030</v>
      </c>
      <c r="F21" s="10">
        <v>15000</v>
      </c>
    </row>
    <row r="22" spans="1:9" x14ac:dyDescent="0.25">
      <c r="A22" s="2" t="s">
        <v>37</v>
      </c>
      <c r="B22" s="10">
        <v>133600</v>
      </c>
      <c r="E22" s="3">
        <v>46031</v>
      </c>
      <c r="F22" s="10">
        <v>25000</v>
      </c>
    </row>
    <row r="23" spans="1:9" x14ac:dyDescent="0.25">
      <c r="E23" s="3">
        <v>46032</v>
      </c>
      <c r="F23" s="10">
        <v>2500</v>
      </c>
    </row>
    <row r="24" spans="1:9" x14ac:dyDescent="0.25">
      <c r="E24" s="3" t="s">
        <v>37</v>
      </c>
      <c r="F24" s="10">
        <v>133600</v>
      </c>
    </row>
    <row r="50" spans="1:3" x14ac:dyDescent="0.25">
      <c r="C50" s="11"/>
    </row>
    <row r="52" spans="1:3" x14ac:dyDescent="0.25">
      <c r="C52"/>
    </row>
    <row r="53" spans="1:3" x14ac:dyDescent="0.25">
      <c r="C53"/>
    </row>
    <row r="54" spans="1:3" x14ac:dyDescent="0.25">
      <c r="C54"/>
    </row>
    <row r="55" spans="1:3" x14ac:dyDescent="0.25">
      <c r="C55"/>
    </row>
    <row r="56" spans="1:3" x14ac:dyDescent="0.25">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C62"/>
    </row>
    <row r="63" spans="1:3" x14ac:dyDescent="0.25">
      <c r="C63"/>
    </row>
    <row r="64" spans="1:3" x14ac:dyDescent="0.25">
      <c r="C64"/>
    </row>
    <row r="65" spans="1:3" x14ac:dyDescent="0.25">
      <c r="C65"/>
    </row>
    <row r="66" spans="1:3" x14ac:dyDescent="0.25">
      <c r="C66"/>
    </row>
    <row r="67" spans="1:3" x14ac:dyDescent="0.25">
      <c r="C67"/>
    </row>
    <row r="68" spans="1:3" x14ac:dyDescent="0.25">
      <c r="C68"/>
    </row>
    <row r="69" spans="1:3" x14ac:dyDescent="0.25">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sheetData>
  <mergeCells count="6">
    <mergeCell ref="H11:I11"/>
    <mergeCell ref="A1:B1"/>
    <mergeCell ref="E1:F1"/>
    <mergeCell ref="H1:I1"/>
    <mergeCell ref="E11:F11"/>
    <mergeCell ref="K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94CC-F48A-4114-AEED-B54F18F4551E}">
  <dimension ref="A1:I11"/>
  <sheetViews>
    <sheetView workbookViewId="0">
      <selection activeCell="B4" sqref="A2:I11"/>
    </sheetView>
  </sheetViews>
  <sheetFormatPr defaultRowHeight="15" x14ac:dyDescent="0.25"/>
  <cols>
    <col min="1" max="1" width="11.42578125" customWidth="1"/>
    <col min="2" max="2" width="17.5703125" customWidth="1"/>
    <col min="3" max="3" width="14.7109375" customWidth="1"/>
    <col min="4" max="4" width="16.85546875" customWidth="1"/>
    <col min="5" max="5" width="14.5703125" customWidth="1"/>
    <col min="6" max="6" width="12.5703125" customWidth="1"/>
    <col min="7" max="7" width="12.28515625" customWidth="1"/>
    <col min="8" max="8" width="13.28515625" customWidth="1"/>
    <col min="9" max="9" width="15" customWidth="1"/>
  </cols>
  <sheetData>
    <row r="1" spans="1:9" x14ac:dyDescent="0.25">
      <c r="A1" s="1" t="s">
        <v>0</v>
      </c>
      <c r="B1" s="1" t="s">
        <v>1</v>
      </c>
      <c r="C1" s="1" t="s">
        <v>2</v>
      </c>
      <c r="D1" s="1" t="s">
        <v>3</v>
      </c>
      <c r="E1" s="1" t="s">
        <v>14</v>
      </c>
      <c r="F1" s="1" t="s">
        <v>15</v>
      </c>
      <c r="G1" s="1" t="s">
        <v>16</v>
      </c>
      <c r="H1" s="1" t="s">
        <v>17</v>
      </c>
      <c r="I1" s="1" t="s">
        <v>18</v>
      </c>
    </row>
    <row r="2" spans="1:9" x14ac:dyDescent="0.25">
      <c r="A2" s="2">
        <v>1001</v>
      </c>
      <c r="B2" s="3">
        <v>46023</v>
      </c>
      <c r="C2" s="2" t="s">
        <v>4</v>
      </c>
      <c r="D2" s="2" t="s">
        <v>19</v>
      </c>
      <c r="E2" s="2" t="s">
        <v>22</v>
      </c>
      <c r="F2" s="2" t="s">
        <v>32</v>
      </c>
      <c r="G2" s="2">
        <v>55000</v>
      </c>
      <c r="H2" s="2">
        <v>8000</v>
      </c>
      <c r="I2" s="2">
        <v>1</v>
      </c>
    </row>
    <row r="3" spans="1:9" x14ac:dyDescent="0.25">
      <c r="A3" s="2">
        <v>1002</v>
      </c>
      <c r="B3" s="3">
        <v>46024</v>
      </c>
      <c r="C3" s="2" t="s">
        <v>5</v>
      </c>
      <c r="D3" s="2" t="s">
        <v>20</v>
      </c>
      <c r="E3" s="2" t="s">
        <v>23</v>
      </c>
      <c r="F3" s="2" t="s">
        <v>33</v>
      </c>
      <c r="G3" s="2">
        <v>7500</v>
      </c>
      <c r="H3" s="2">
        <v>1200</v>
      </c>
      <c r="I3" s="2">
        <v>2</v>
      </c>
    </row>
    <row r="4" spans="1:9" x14ac:dyDescent="0.25">
      <c r="A4" s="2">
        <v>1003</v>
      </c>
      <c r="B4" s="3">
        <v>46025</v>
      </c>
      <c r="C4" s="2" t="s">
        <v>6</v>
      </c>
      <c r="D4" s="2" t="s">
        <v>19</v>
      </c>
      <c r="E4" s="2" t="s">
        <v>24</v>
      </c>
      <c r="F4" s="2" t="s">
        <v>32</v>
      </c>
      <c r="G4" s="2">
        <v>800</v>
      </c>
      <c r="H4" s="2">
        <v>250</v>
      </c>
      <c r="I4" s="2">
        <v>3</v>
      </c>
    </row>
    <row r="5" spans="1:9" x14ac:dyDescent="0.25">
      <c r="A5" s="2">
        <v>1004</v>
      </c>
      <c r="B5" s="3">
        <v>46026</v>
      </c>
      <c r="C5" s="2" t="s">
        <v>7</v>
      </c>
      <c r="D5" s="2" t="s">
        <v>21</v>
      </c>
      <c r="E5" s="2" t="s">
        <v>25</v>
      </c>
      <c r="F5" s="2" t="s">
        <v>34</v>
      </c>
      <c r="G5" s="2">
        <v>500</v>
      </c>
      <c r="H5" s="2">
        <v>120</v>
      </c>
      <c r="I5" s="2">
        <v>10</v>
      </c>
    </row>
    <row r="6" spans="1:9" x14ac:dyDescent="0.25">
      <c r="A6" s="2">
        <v>1005</v>
      </c>
      <c r="B6" s="3">
        <v>46027</v>
      </c>
      <c r="C6" s="2" t="s">
        <v>8</v>
      </c>
      <c r="D6" s="2" t="s">
        <v>19</v>
      </c>
      <c r="E6" s="2" t="s">
        <v>26</v>
      </c>
      <c r="F6" s="2" t="s">
        <v>35</v>
      </c>
      <c r="G6" s="2">
        <v>15000</v>
      </c>
      <c r="H6" s="2">
        <v>400</v>
      </c>
      <c r="I6" s="2">
        <v>2</v>
      </c>
    </row>
    <row r="7" spans="1:9" x14ac:dyDescent="0.25">
      <c r="A7" s="2">
        <v>1006</v>
      </c>
      <c r="B7" s="3">
        <v>46028</v>
      </c>
      <c r="C7" s="2" t="s">
        <v>9</v>
      </c>
      <c r="D7" s="2" t="s">
        <v>20</v>
      </c>
      <c r="E7" s="2" t="s">
        <v>27</v>
      </c>
      <c r="F7" s="2" t="s">
        <v>32</v>
      </c>
      <c r="G7" s="2">
        <v>12000</v>
      </c>
      <c r="H7" s="2">
        <v>2000</v>
      </c>
      <c r="I7" s="2">
        <v>1</v>
      </c>
    </row>
    <row r="8" spans="1:9" x14ac:dyDescent="0.25">
      <c r="A8" s="2">
        <v>1007</v>
      </c>
      <c r="B8" s="3">
        <v>46029</v>
      </c>
      <c r="C8" s="2" t="s">
        <v>10</v>
      </c>
      <c r="D8" s="2" t="s">
        <v>21</v>
      </c>
      <c r="E8" s="2" t="s">
        <v>28</v>
      </c>
      <c r="F8" s="2" t="s">
        <v>33</v>
      </c>
      <c r="G8" s="2">
        <v>300</v>
      </c>
      <c r="H8" s="2">
        <v>90</v>
      </c>
      <c r="I8" s="2">
        <v>20</v>
      </c>
    </row>
    <row r="9" spans="1:9" x14ac:dyDescent="0.25">
      <c r="A9" s="2">
        <v>1008</v>
      </c>
      <c r="B9" s="3">
        <v>46030</v>
      </c>
      <c r="C9" s="2" t="s">
        <v>11</v>
      </c>
      <c r="D9" s="2" t="s">
        <v>19</v>
      </c>
      <c r="E9" s="2" t="s">
        <v>29</v>
      </c>
      <c r="F9" s="2" t="s">
        <v>34</v>
      </c>
      <c r="G9" s="2">
        <v>15000</v>
      </c>
      <c r="H9" s="2">
        <v>2500</v>
      </c>
      <c r="I9" s="2">
        <v>1</v>
      </c>
    </row>
    <row r="10" spans="1:9" x14ac:dyDescent="0.25">
      <c r="A10" s="2">
        <v>1009</v>
      </c>
      <c r="B10" s="3">
        <v>46031</v>
      </c>
      <c r="C10" s="2" t="s">
        <v>12</v>
      </c>
      <c r="D10" s="2" t="s">
        <v>20</v>
      </c>
      <c r="E10" s="2" t="s">
        <v>30</v>
      </c>
      <c r="F10" s="2" t="s">
        <v>35</v>
      </c>
      <c r="G10" s="2">
        <v>25000</v>
      </c>
      <c r="H10" s="2">
        <v>4500</v>
      </c>
      <c r="I10" s="2">
        <v>1</v>
      </c>
    </row>
    <row r="11" spans="1:9" x14ac:dyDescent="0.25">
      <c r="A11" s="2">
        <v>1010</v>
      </c>
      <c r="B11" s="3">
        <v>46032</v>
      </c>
      <c r="C11" s="2" t="s">
        <v>13</v>
      </c>
      <c r="D11" s="2" t="s">
        <v>19</v>
      </c>
      <c r="E11" s="2" t="s">
        <v>31</v>
      </c>
      <c r="F11" s="2" t="s">
        <v>32</v>
      </c>
      <c r="G11" s="2">
        <v>2500</v>
      </c>
      <c r="H11" s="2">
        <v>700</v>
      </c>
      <c r="I11" s="2">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S0902779</dc:creator>
  <cp:lastModifiedBy>S0902779</cp:lastModifiedBy>
  <dcterms:created xsi:type="dcterms:W3CDTF">2026-07-30T05:13:42Z</dcterms:created>
  <dcterms:modified xsi:type="dcterms:W3CDTF">2026-07-30T11:29:15Z</dcterms:modified>
</cp:coreProperties>
</file>